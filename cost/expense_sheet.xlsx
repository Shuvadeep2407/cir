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rone\c_uas\cost\"/>
    </mc:Choice>
  </mc:AlternateContent>
  <bookViews>
    <workbookView xWindow="0" yWindow="0" windowWidth="28455" windowHeight="9795"/>
  </bookViews>
  <sheets>
    <sheet name="Expense Sheet" sheetId="1" r:id="rId1"/>
  </sheets>
  <definedNames>
    <definedName name="_xlnm._FilterDatabase" localSheetId="0" hidden="1">'Expense Sheet'!$A$1:$E$45</definedName>
  </definedNames>
  <calcPr calcId="162913"/>
</workbook>
</file>

<file path=xl/calcChain.xml><?xml version="1.0" encoding="utf-8"?>
<calcChain xmlns="http://schemas.openxmlformats.org/spreadsheetml/2006/main">
  <c r="E37" i="1" l="1"/>
  <c r="E45" i="1" l="1"/>
  <c r="E34" i="1"/>
  <c r="E33" i="1"/>
  <c r="F9" i="1"/>
  <c r="F10" i="1"/>
  <c r="F11" i="1"/>
  <c r="F12" i="1"/>
  <c r="F13" i="1"/>
  <c r="F14" i="1"/>
  <c r="F8" i="1"/>
  <c r="F44" i="1" s="1"/>
  <c r="E30" i="1"/>
</calcChain>
</file>

<file path=xl/sharedStrings.xml><?xml version="1.0" encoding="utf-8"?>
<sst xmlns="http://schemas.openxmlformats.org/spreadsheetml/2006/main" count="136" uniqueCount="48">
  <si>
    <t>Date</t>
  </si>
  <si>
    <t>Category</t>
  </si>
  <si>
    <t>Item</t>
  </si>
  <si>
    <t>Currency</t>
  </si>
  <si>
    <t>Cost (BDT)</t>
  </si>
  <si>
    <t>6/29/2026</t>
  </si>
  <si>
    <t>STAND</t>
  </si>
  <si>
    <t>Material</t>
  </si>
  <si>
    <t>BDT</t>
  </si>
  <si>
    <t>PARABOLIC DISH</t>
  </si>
  <si>
    <t>CONVANS</t>
  </si>
  <si>
    <t>Convans</t>
  </si>
  <si>
    <t>ELECTRONICS</t>
  </si>
  <si>
    <t>Electronics</t>
  </si>
  <si>
    <t>TOOL</t>
  </si>
  <si>
    <t>Long Range Millimeter Wave Radar</t>
  </si>
  <si>
    <t>6/30/2026</t>
  </si>
  <si>
    <t>data link Module</t>
  </si>
  <si>
    <t>2.4G Yagi antenna</t>
  </si>
  <si>
    <t>Optic Laser Rangefinder Module</t>
  </si>
  <si>
    <t>Infrared Laser Light Bulb</t>
  </si>
  <si>
    <t>Stepper Motor NEMA 17</t>
  </si>
  <si>
    <t>30x Zoom Camera</t>
  </si>
  <si>
    <t>7/2/2026</t>
  </si>
  <si>
    <t>WORKSHOP cutting</t>
  </si>
  <si>
    <t>Labor</t>
  </si>
  <si>
    <t>fiting</t>
  </si>
  <si>
    <t>color</t>
  </si>
  <si>
    <t>Tools</t>
  </si>
  <si>
    <t>WORKSHOP</t>
  </si>
  <si>
    <t>Workshop</t>
  </si>
  <si>
    <t>PCB</t>
  </si>
  <si>
    <t>shipping fee china to bd</t>
  </si>
  <si>
    <t>shipping</t>
  </si>
  <si>
    <t>pathao</t>
  </si>
  <si>
    <t>shuvadeep</t>
  </si>
  <si>
    <t>funding</t>
  </si>
  <si>
    <t>jammer</t>
  </si>
  <si>
    <t>pc</t>
  </si>
  <si>
    <t>TOTAL</t>
  </si>
  <si>
    <t>GRAND TOTAL</t>
  </si>
  <si>
    <t>Shuvodip 61400</t>
  </si>
  <si>
    <t>Nihar 24735</t>
  </si>
  <si>
    <t>Zahangir 81775</t>
  </si>
  <si>
    <t>ai shiping 4000 + 6000 cash</t>
  </si>
  <si>
    <t xml:space="preserve">persel </t>
  </si>
  <si>
    <t>Nihar sir</t>
  </si>
  <si>
    <t xml:space="preserve">dhaka to ctg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</si>
</sst>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[$-F800]dddd\,\ mmmm\ dd\,\ yyyy"/>
    <numFmt numFmtId="169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1" fillId="0" borderId="1" xfId="0" applyFont="1" applyBorder="1"/>
    <xf numFmtId="4" fontId="1" fillId="0" borderId="1" xfId="0" applyNumberFormat="1" applyFon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4" fontId="0" fillId="2" borderId="1" xfId="0" applyNumberFormat="1" applyFill="1" applyBorder="1"/>
    <xf numFmtId="0" fontId="0" fillId="2" borderId="0" xfId="0" applyFill="1"/>
    <xf numFmtId="4" fontId="0" fillId="2" borderId="0" xfId="0" applyNumberFormat="1" applyFill="1"/>
    <xf numFmtId="4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Border="1"/>
    <xf numFmtId="4" fontId="0" fillId="0" borderId="0" xfId="0" applyNumberFormat="1" applyBorder="1"/>
    <xf numFmtId="0" fontId="0" fillId="0" borderId="5" xfId="0" applyFill="1" applyBorder="1"/>
    <xf numFmtId="164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44" fontId="0" fillId="0" borderId="0" xfId="1" applyFont="1"/>
    <xf numFmtId="169" fontId="0" fillId="2" borderId="0" xfId="0" applyNumberForma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zoomScale="115" zoomScaleNormal="115" workbookViewId="0">
      <pane ySplit="1" topLeftCell="A22" activePane="bottomLeft" state="frozen"/>
      <selection pane="bottomLeft" activeCell="F40" sqref="F40"/>
    </sheetView>
  </sheetViews>
  <sheetFormatPr defaultRowHeight="15" x14ac:dyDescent="0.25"/>
  <cols>
    <col min="1" max="1" width="23.28515625" bestFit="1" customWidth="1"/>
    <col min="2" max="2" width="34" customWidth="1"/>
    <col min="3" max="3" width="18" customWidth="1"/>
    <col min="4" max="4" width="12" customWidth="1"/>
    <col min="5" max="5" width="16" customWidth="1"/>
    <col min="6" max="6" width="26.7109375" bestFit="1" customWidth="1"/>
    <col min="7" max="7" width="27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s="2" t="s">
        <v>5</v>
      </c>
      <c r="B2" s="3" t="s">
        <v>6</v>
      </c>
      <c r="C2" s="3" t="s">
        <v>7</v>
      </c>
      <c r="D2" s="3" t="s">
        <v>8</v>
      </c>
      <c r="E2" s="4">
        <v>10000</v>
      </c>
    </row>
    <row r="3" spans="1:6" x14ac:dyDescent="0.25">
      <c r="A3" s="2" t="s">
        <v>5</v>
      </c>
      <c r="B3" s="3" t="s">
        <v>9</v>
      </c>
      <c r="C3" s="3" t="s">
        <v>7</v>
      </c>
      <c r="D3" s="3" t="s">
        <v>8</v>
      </c>
      <c r="E3" s="4">
        <v>6000</v>
      </c>
    </row>
    <row r="4" spans="1:6" x14ac:dyDescent="0.25">
      <c r="A4" s="2" t="s">
        <v>5</v>
      </c>
      <c r="B4" s="3" t="s">
        <v>10</v>
      </c>
      <c r="C4" s="3" t="s">
        <v>11</v>
      </c>
      <c r="D4" s="3" t="s">
        <v>8</v>
      </c>
      <c r="E4" s="4">
        <v>500</v>
      </c>
    </row>
    <row r="5" spans="1:6" x14ac:dyDescent="0.25">
      <c r="A5" s="2" t="s">
        <v>5</v>
      </c>
      <c r="B5" s="3" t="s">
        <v>12</v>
      </c>
      <c r="C5" s="3" t="s">
        <v>13</v>
      </c>
      <c r="D5" s="3" t="s">
        <v>8</v>
      </c>
      <c r="E5" s="4">
        <v>30000</v>
      </c>
    </row>
    <row r="6" spans="1:6" x14ac:dyDescent="0.25">
      <c r="A6" s="2" t="s">
        <v>5</v>
      </c>
      <c r="B6" s="3" t="s">
        <v>14</v>
      </c>
      <c r="C6" s="3" t="s">
        <v>13</v>
      </c>
      <c r="D6" s="3" t="s">
        <v>8</v>
      </c>
      <c r="E6" s="4">
        <v>3500</v>
      </c>
    </row>
    <row r="7" spans="1:6" x14ac:dyDescent="0.25">
      <c r="A7" s="2" t="s">
        <v>5</v>
      </c>
      <c r="B7" s="3" t="s">
        <v>10</v>
      </c>
      <c r="C7" s="3" t="s">
        <v>11</v>
      </c>
      <c r="D7" s="3" t="s">
        <v>8</v>
      </c>
      <c r="E7" s="4">
        <v>500</v>
      </c>
    </row>
    <row r="8" spans="1:6" x14ac:dyDescent="0.25">
      <c r="A8" s="7" t="s">
        <v>5</v>
      </c>
      <c r="B8" s="8" t="s">
        <v>15</v>
      </c>
      <c r="C8" s="8" t="s">
        <v>13</v>
      </c>
      <c r="D8" s="8" t="s">
        <v>8</v>
      </c>
      <c r="E8" s="9">
        <v>79000</v>
      </c>
      <c r="F8" s="11">
        <f>E8</f>
        <v>79000</v>
      </c>
    </row>
    <row r="9" spans="1:6" x14ac:dyDescent="0.25">
      <c r="A9" s="7" t="s">
        <v>16</v>
      </c>
      <c r="B9" s="8" t="s">
        <v>17</v>
      </c>
      <c r="C9" s="8" t="s">
        <v>13</v>
      </c>
      <c r="D9" s="8" t="s">
        <v>8</v>
      </c>
      <c r="E9" s="9">
        <v>23000</v>
      </c>
      <c r="F9" s="11">
        <f t="shared" ref="F9:F14" si="0">E9</f>
        <v>23000</v>
      </c>
    </row>
    <row r="10" spans="1:6" x14ac:dyDescent="0.25">
      <c r="A10" s="7" t="s">
        <v>16</v>
      </c>
      <c r="B10" s="8" t="s">
        <v>18</v>
      </c>
      <c r="C10" s="8" t="s">
        <v>7</v>
      </c>
      <c r="D10" s="8" t="s">
        <v>8</v>
      </c>
      <c r="E10" s="9">
        <v>1920</v>
      </c>
      <c r="F10" s="11">
        <f t="shared" si="0"/>
        <v>1920</v>
      </c>
    </row>
    <row r="11" spans="1:6" x14ac:dyDescent="0.25">
      <c r="A11" s="7" t="s">
        <v>16</v>
      </c>
      <c r="B11" s="8" t="s">
        <v>19</v>
      </c>
      <c r="C11" s="8" t="s">
        <v>13</v>
      </c>
      <c r="D11" s="8" t="s">
        <v>8</v>
      </c>
      <c r="E11" s="9">
        <v>20000</v>
      </c>
      <c r="F11" s="11">
        <f t="shared" si="0"/>
        <v>20000</v>
      </c>
    </row>
    <row r="12" spans="1:6" x14ac:dyDescent="0.25">
      <c r="A12" s="7" t="s">
        <v>16</v>
      </c>
      <c r="B12" s="8" t="s">
        <v>20</v>
      </c>
      <c r="C12" s="8" t="s">
        <v>13</v>
      </c>
      <c r="D12" s="8" t="s">
        <v>8</v>
      </c>
      <c r="E12" s="9">
        <v>21000</v>
      </c>
      <c r="F12" s="11">
        <f t="shared" si="0"/>
        <v>21000</v>
      </c>
    </row>
    <row r="13" spans="1:6" x14ac:dyDescent="0.25">
      <c r="A13" s="7" t="s">
        <v>16</v>
      </c>
      <c r="B13" s="8" t="s">
        <v>21</v>
      </c>
      <c r="C13" s="8" t="s">
        <v>13</v>
      </c>
      <c r="D13" s="8" t="s">
        <v>8</v>
      </c>
      <c r="E13" s="9">
        <v>4500</v>
      </c>
      <c r="F13" s="11">
        <f t="shared" si="0"/>
        <v>4500</v>
      </c>
    </row>
    <row r="14" spans="1:6" x14ac:dyDescent="0.25">
      <c r="A14" s="7" t="s">
        <v>16</v>
      </c>
      <c r="B14" s="8" t="s">
        <v>22</v>
      </c>
      <c r="C14" s="8" t="s">
        <v>13</v>
      </c>
      <c r="D14" s="8" t="s">
        <v>8</v>
      </c>
      <c r="E14" s="9">
        <v>18500</v>
      </c>
      <c r="F14" s="11">
        <f t="shared" si="0"/>
        <v>18500</v>
      </c>
    </row>
    <row r="15" spans="1:6" x14ac:dyDescent="0.25">
      <c r="A15" s="2" t="s">
        <v>16</v>
      </c>
      <c r="B15" s="3" t="s">
        <v>14</v>
      </c>
      <c r="C15" s="3" t="s">
        <v>7</v>
      </c>
      <c r="D15" s="3" t="s">
        <v>8</v>
      </c>
      <c r="E15" s="4">
        <v>500</v>
      </c>
    </row>
    <row r="16" spans="1:6" x14ac:dyDescent="0.25">
      <c r="A16" s="2" t="s">
        <v>23</v>
      </c>
      <c r="B16" s="3" t="s">
        <v>24</v>
      </c>
      <c r="C16" s="3" t="s">
        <v>25</v>
      </c>
      <c r="D16" s="3" t="s">
        <v>8</v>
      </c>
      <c r="E16" s="4">
        <v>500</v>
      </c>
    </row>
    <row r="17" spans="1:6" x14ac:dyDescent="0.25">
      <c r="A17" s="2" t="s">
        <v>23</v>
      </c>
      <c r="B17" s="3" t="s">
        <v>26</v>
      </c>
      <c r="C17" s="3" t="s">
        <v>25</v>
      </c>
      <c r="D17" s="3" t="s">
        <v>8</v>
      </c>
      <c r="E17" s="4">
        <v>500</v>
      </c>
    </row>
    <row r="18" spans="1:6" x14ac:dyDescent="0.25">
      <c r="A18" s="17">
        <v>46206</v>
      </c>
      <c r="B18" s="3" t="s">
        <v>27</v>
      </c>
      <c r="C18" s="3" t="s">
        <v>28</v>
      </c>
      <c r="D18" s="3" t="s">
        <v>8</v>
      </c>
      <c r="E18" s="4">
        <v>1500</v>
      </c>
    </row>
    <row r="19" spans="1:6" x14ac:dyDescent="0.25">
      <c r="A19" s="17">
        <v>46206</v>
      </c>
      <c r="B19" s="3" t="s">
        <v>10</v>
      </c>
      <c r="C19" s="3" t="s">
        <v>11</v>
      </c>
      <c r="D19" s="3" t="s">
        <v>8</v>
      </c>
      <c r="E19" s="4">
        <v>500</v>
      </c>
    </row>
    <row r="20" spans="1:6" x14ac:dyDescent="0.25">
      <c r="A20" s="17">
        <v>46206</v>
      </c>
      <c r="B20" s="3" t="s">
        <v>29</v>
      </c>
      <c r="C20" s="3" t="s">
        <v>25</v>
      </c>
      <c r="D20" s="3" t="s">
        <v>8</v>
      </c>
      <c r="E20" s="4">
        <v>2000</v>
      </c>
    </row>
    <row r="21" spans="1:6" x14ac:dyDescent="0.25">
      <c r="A21" s="17">
        <v>46209</v>
      </c>
      <c r="B21" s="3" t="s">
        <v>29</v>
      </c>
      <c r="C21" s="3" t="s">
        <v>30</v>
      </c>
      <c r="D21" s="3" t="s">
        <v>8</v>
      </c>
      <c r="E21" s="4">
        <v>500</v>
      </c>
    </row>
    <row r="22" spans="1:6" x14ac:dyDescent="0.25">
      <c r="A22" s="17">
        <v>46209</v>
      </c>
      <c r="B22" s="3" t="s">
        <v>31</v>
      </c>
      <c r="C22" s="3" t="s">
        <v>31</v>
      </c>
      <c r="D22" s="3" t="s">
        <v>8</v>
      </c>
      <c r="E22" s="4">
        <v>10000</v>
      </c>
    </row>
    <row r="23" spans="1:6" x14ac:dyDescent="0.25">
      <c r="A23" s="17">
        <v>46209</v>
      </c>
      <c r="B23" s="3" t="s">
        <v>10</v>
      </c>
      <c r="C23" s="3" t="s">
        <v>11</v>
      </c>
      <c r="D23" s="3" t="s">
        <v>8</v>
      </c>
      <c r="E23" s="4">
        <v>500</v>
      </c>
    </row>
    <row r="24" spans="1:6" x14ac:dyDescent="0.25">
      <c r="A24" s="17">
        <v>46215</v>
      </c>
      <c r="B24" s="3" t="s">
        <v>29</v>
      </c>
      <c r="C24" s="3" t="s">
        <v>25</v>
      </c>
      <c r="D24" s="3" t="s">
        <v>8</v>
      </c>
      <c r="E24" s="4">
        <v>1000</v>
      </c>
    </row>
    <row r="25" spans="1:6" x14ac:dyDescent="0.25">
      <c r="A25" s="17">
        <v>46215</v>
      </c>
      <c r="B25" s="3" t="s">
        <v>14</v>
      </c>
      <c r="C25" s="3" t="s">
        <v>7</v>
      </c>
      <c r="D25" s="3" t="s">
        <v>8</v>
      </c>
      <c r="E25" s="4">
        <v>1000</v>
      </c>
    </row>
    <row r="26" spans="1:6" x14ac:dyDescent="0.25">
      <c r="A26" s="17">
        <v>46215</v>
      </c>
      <c r="B26" s="3" t="s">
        <v>10</v>
      </c>
      <c r="C26" s="3" t="s">
        <v>11</v>
      </c>
      <c r="D26" s="3" t="s">
        <v>8</v>
      </c>
      <c r="E26" s="4">
        <v>1500</v>
      </c>
    </row>
    <row r="27" spans="1:6" x14ac:dyDescent="0.25">
      <c r="A27" s="17">
        <v>46215</v>
      </c>
      <c r="B27" s="3" t="s">
        <v>32</v>
      </c>
      <c r="C27" s="3" t="s">
        <v>33</v>
      </c>
      <c r="D27" s="3" t="s">
        <v>8</v>
      </c>
      <c r="E27" s="4">
        <v>12000</v>
      </c>
    </row>
    <row r="28" spans="1:6" x14ac:dyDescent="0.25">
      <c r="A28" s="17">
        <v>46217</v>
      </c>
      <c r="B28" s="3" t="s">
        <v>34</v>
      </c>
      <c r="C28" s="3" t="s">
        <v>33</v>
      </c>
      <c r="D28" s="3" t="s">
        <v>8</v>
      </c>
      <c r="E28" s="4">
        <v>480</v>
      </c>
    </row>
    <row r="29" spans="1:6" x14ac:dyDescent="0.25">
      <c r="A29" s="17">
        <v>46217</v>
      </c>
      <c r="B29" s="3" t="s">
        <v>35</v>
      </c>
      <c r="C29" s="3" t="s">
        <v>36</v>
      </c>
      <c r="D29" s="3" t="s">
        <v>8</v>
      </c>
      <c r="E29" s="4">
        <v>5600</v>
      </c>
      <c r="F29" s="10">
        <v>600</v>
      </c>
    </row>
    <row r="30" spans="1:6" x14ac:dyDescent="0.25">
      <c r="A30" s="17"/>
      <c r="B30" s="18" t="s">
        <v>39</v>
      </c>
      <c r="C30" s="19"/>
      <c r="D30" s="20"/>
      <c r="E30" s="6">
        <f>SUM(E2:E29)</f>
        <v>256500</v>
      </c>
    </row>
    <row r="31" spans="1:6" x14ac:dyDescent="0.25">
      <c r="A31" s="17">
        <v>46217</v>
      </c>
      <c r="B31" s="3" t="s">
        <v>37</v>
      </c>
      <c r="C31" s="3" t="s">
        <v>13</v>
      </c>
      <c r="D31" s="3" t="s">
        <v>8</v>
      </c>
      <c r="E31" s="4">
        <v>22800</v>
      </c>
    </row>
    <row r="32" spans="1:6" x14ac:dyDescent="0.25">
      <c r="A32" s="17">
        <v>46219</v>
      </c>
      <c r="B32" s="3" t="s">
        <v>38</v>
      </c>
      <c r="C32" s="3" t="s">
        <v>13</v>
      </c>
      <c r="D32" s="3" t="s">
        <v>8</v>
      </c>
      <c r="E32" s="4">
        <v>55500</v>
      </c>
    </row>
    <row r="33" spans="1:7" x14ac:dyDescent="0.25">
      <c r="A33" s="17">
        <v>46219</v>
      </c>
      <c r="B33" s="3" t="s">
        <v>35</v>
      </c>
      <c r="C33" s="3" t="s">
        <v>36</v>
      </c>
      <c r="D33" s="3" t="s">
        <v>8</v>
      </c>
      <c r="E33" s="4">
        <f>95000-55500</f>
        <v>39500</v>
      </c>
    </row>
    <row r="34" spans="1:7" x14ac:dyDescent="0.25">
      <c r="A34" s="17"/>
      <c r="B34" s="18" t="s">
        <v>39</v>
      </c>
      <c r="C34" s="19"/>
      <c r="D34" s="20"/>
      <c r="E34" s="15">
        <f>SUM(E30:E33)</f>
        <v>374300</v>
      </c>
    </row>
    <row r="35" spans="1:7" x14ac:dyDescent="0.25">
      <c r="A35" s="17">
        <v>46231</v>
      </c>
      <c r="B35" s="3" t="s">
        <v>35</v>
      </c>
      <c r="C35" s="3" t="s">
        <v>36</v>
      </c>
      <c r="D35" s="3" t="s">
        <v>8</v>
      </c>
      <c r="E35" s="4">
        <v>10000</v>
      </c>
      <c r="G35" s="16" t="s">
        <v>44</v>
      </c>
    </row>
    <row r="36" spans="1:7" x14ac:dyDescent="0.25">
      <c r="A36" s="17">
        <v>46231</v>
      </c>
      <c r="B36" s="3" t="s">
        <v>34</v>
      </c>
      <c r="C36" s="3" t="s">
        <v>45</v>
      </c>
      <c r="D36" s="3" t="s">
        <v>8</v>
      </c>
      <c r="E36" s="4">
        <v>200</v>
      </c>
    </row>
    <row r="37" spans="1:7" x14ac:dyDescent="0.25">
      <c r="A37" s="17">
        <v>46234</v>
      </c>
      <c r="B37" s="3" t="s">
        <v>35</v>
      </c>
      <c r="C37" s="3" t="s">
        <v>36</v>
      </c>
      <c r="D37" s="3" t="s">
        <v>8</v>
      </c>
      <c r="E37" s="4">
        <f>10000-6765</f>
        <v>3235</v>
      </c>
    </row>
    <row r="38" spans="1:7" x14ac:dyDescent="0.25">
      <c r="A38" s="17">
        <v>46236</v>
      </c>
      <c r="B38" s="3" t="s">
        <v>35</v>
      </c>
      <c r="C38" s="3" t="s">
        <v>36</v>
      </c>
      <c r="D38" s="3" t="s">
        <v>8</v>
      </c>
      <c r="E38" s="4">
        <v>10000</v>
      </c>
    </row>
    <row r="39" spans="1:7" x14ac:dyDescent="0.25">
      <c r="A39" s="17">
        <v>46242</v>
      </c>
      <c r="B39" s="3" t="s">
        <v>46</v>
      </c>
      <c r="C39" s="3" t="s">
        <v>47</v>
      </c>
      <c r="D39" s="3" t="s">
        <v>8</v>
      </c>
      <c r="E39" s="4">
        <v>1153</v>
      </c>
    </row>
    <row r="40" spans="1:7" x14ac:dyDescent="0.25">
      <c r="A40" s="2"/>
      <c r="B40" s="3"/>
      <c r="C40" s="3"/>
      <c r="D40" s="14"/>
      <c r="E40" s="15"/>
    </row>
    <row r="41" spans="1:7" x14ac:dyDescent="0.25">
      <c r="A41" s="2"/>
      <c r="B41" s="3"/>
      <c r="C41" s="3"/>
      <c r="D41" s="14"/>
      <c r="E41" s="15"/>
    </row>
    <row r="42" spans="1:7" x14ac:dyDescent="0.25">
      <c r="A42" s="2"/>
      <c r="B42" s="3"/>
      <c r="C42" s="3"/>
      <c r="D42" s="14"/>
      <c r="E42" s="15"/>
    </row>
    <row r="43" spans="1:7" x14ac:dyDescent="0.25">
      <c r="A43" s="2"/>
      <c r="B43" s="3"/>
      <c r="C43" s="3"/>
      <c r="D43" s="14"/>
      <c r="E43" s="15"/>
    </row>
    <row r="44" spans="1:7" x14ac:dyDescent="0.25">
      <c r="A44" s="1"/>
      <c r="B44" s="5"/>
      <c r="C44" s="5"/>
      <c r="F44" s="12">
        <f>SUM(F8:F31)</f>
        <v>168520</v>
      </c>
    </row>
    <row r="45" spans="1:7" x14ac:dyDescent="0.25">
      <c r="A45" s="1"/>
      <c r="B45" s="5"/>
      <c r="C45" s="5"/>
      <c r="D45" s="5" t="s">
        <v>40</v>
      </c>
      <c r="E45" s="6">
        <f>SUM(E34:E44)</f>
        <v>398888</v>
      </c>
      <c r="F45" s="13" t="s">
        <v>41</v>
      </c>
    </row>
    <row r="46" spans="1:7" x14ac:dyDescent="0.25">
      <c r="E46" s="21"/>
      <c r="F46" s="13" t="s">
        <v>42</v>
      </c>
    </row>
    <row r="47" spans="1:7" x14ac:dyDescent="0.25">
      <c r="F47" s="13" t="s">
        <v>43</v>
      </c>
    </row>
    <row r="48" spans="1:7" x14ac:dyDescent="0.25">
      <c r="F48" s="22">
        <v>167910</v>
      </c>
    </row>
  </sheetData>
  <autoFilter ref="A1:E45"/>
  <mergeCells count="2">
    <mergeCell ref="B30:D30"/>
    <mergeCell ref="B34:D34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turja mazumder</cp:lastModifiedBy>
  <dcterms:created xsi:type="dcterms:W3CDTF">2026-08-08T18:46:16Z</dcterms:created>
  <dcterms:modified xsi:type="dcterms:W3CDTF">2026-08-08T19:09:57Z</dcterms:modified>
</cp:coreProperties>
</file>